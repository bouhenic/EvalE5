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bouhenic/code/EvalE5/"/>
    </mc:Choice>
  </mc:AlternateContent>
  <xr:revisionPtr revIDLastSave="0" documentId="8_{A8807BAE-D91A-6842-9378-3B9811CD3E6C}" xr6:coauthVersionLast="47" xr6:coauthVersionMax="47" xr10:uidLastSave="{00000000-0000-0000-0000-000000000000}"/>
  <bookViews>
    <workbookView xWindow="0" yWindow="660" windowWidth="30240" windowHeight="18980" xr2:uid="{00000000-000D-0000-FFFF-FFFF00000000}" activeTab="0"/>
  </bookViews>
  <sheets>
    <sheet name="E5-FICHE SEMESTRE1 E5-IR" sheetId="44" r:id="rId1"/>
    <sheet name="E5-FICHE SEMESTRE2 E5-IR" sheetId="45" r:id="rId2"/>
    <sheet name="E5-FICHE SEMESTRE3 E5-IR" sheetId="46" r:id="rId3"/>
    <sheet name="E5-FICHE SEMESTRE4 E5-IR" sheetId="47" r:id="rId4"/>
    <sheet name="E5-FICHE RECAPITULATIVE E5-IR" sheetId="24" r:id="rId5"/>
    <sheet name="Attendus imprimables E5 - IR" sheetId="43" r:id="rId6"/>
    <sheet name="FICHE RENDU JURY E5 - ER" sheetId="33" state="hidden" r:id="rId7"/>
  </sheets>
  <externalReferences>
    <externalReference r:id="rId8"/>
  </externalReferences>
  <definedNames>
    <definedName name="comp">'[1]unités constitutives SSIHT'!$C$2:$C$22</definedName>
    <definedName name="_xlnm.Print_Area" localSheetId="4">'E5-FICHE RECAPITULATIVE E5-IR'!$A$1:$F$37</definedName>
    <definedName name="_xlnm.Print_Area" localSheetId="0">'E5-FICHE SEMESTRE1 E5-IR'!$A$1:$F$66</definedName>
    <definedName name="_xlnm.Print_Area" localSheetId="1">'E5-FICHE SEMESTRE2 E5-IR'!$A$1:$F$66</definedName>
    <definedName name="_xlnm.Print_Area" localSheetId="2">'E5-FICHE SEMESTRE3 E5-IR'!$A$1:$F$66</definedName>
    <definedName name="_xlnm.Print_Area" localSheetId="3">'E5-FICHE SEMESTRE4 E5-IR'!$A$1:$F$66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0" roundtripDataSignature="AMtx7mhKfOscr2QM4gLYhN/9an+wjxtS3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0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0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0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0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0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0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0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0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0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0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0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0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0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0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1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1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1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1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1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1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1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1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1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1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1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1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1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1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1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1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1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2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2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2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2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2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2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2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2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2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2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2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2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2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2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2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2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2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3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3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3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3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3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3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3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3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3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3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3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3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3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3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3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3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3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<sst xmlns="http://schemas.openxmlformats.org/spreadsheetml/2006/main">
  <si>
    <t xml:space="preserve">BREVET DE TECHNICIEN SUPERIEUR
CYBERSECURITE, INFORMATIQUE et RESEAUX, ELECTRONIQUE </t>
  </si>
  <si>
    <t>Épreuve E5 : Exploitation et maintenance de réseaux informatiques</t>
  </si>
  <si>
    <r>
      <rPr/>
      <t>SESSION 20</t>
    </r>
    <r>
      <rPr>
        <sz val="16"/>
        <color rgb="FF000000"/>
        <rFont val="Arial"/>
        <family val="2"/>
      </rPr>
      <t>xx</t>
    </r>
  </si>
  <si>
    <t>Commentaire (obligatoire si note finale inférieure à 10/20)</t>
  </si>
  <si>
    <t>Académie :</t>
  </si>
  <si>
    <t>Établissement :</t>
  </si>
  <si>
    <t>Nom :</t>
  </si>
  <si>
    <t>Prénom :</t>
  </si>
  <si>
    <t>Numéro du candidat :</t>
  </si>
  <si>
    <t>Date :</t>
  </si>
  <si>
    <t>GRILLE D'ÉVALUATION</t>
  </si>
  <si>
    <t xml:space="preserve">Positionner le niveau de maitrise </t>
  </si>
  <si>
    <t>Niveau 1</t>
  </si>
  <si>
    <t>Niveau 2</t>
  </si>
  <si>
    <t>Niveau 3</t>
  </si>
  <si>
    <t>Niveau 4</t>
  </si>
  <si>
    <t>C02 : ORGANISER UNE INTERVENTION</t>
  </si>
  <si>
    <t xml:space="preserve">Non réalisé </t>
  </si>
  <si>
    <t>Réalisation partielle</t>
  </si>
  <si>
    <t>Réalisation satisfaisante</t>
  </si>
  <si>
    <t>Réalisation très satisfaisante</t>
  </si>
  <si>
    <t>Critères d’évaluation de la compétence</t>
  </si>
  <si>
    <t>0 observable</t>
  </si>
  <si>
    <t>1 observable</t>
  </si>
  <si>
    <t>2 à 3 observables</t>
  </si>
  <si>
    <t>4 observables</t>
  </si>
  <si>
    <t>Les différents interlocuteurs et ressources sont identifiés</t>
  </si>
  <si>
    <t>Le cahier des charges préliminaire est complété et les ressources permettant de répondre au cahier des charges sont décrites</t>
  </si>
  <si>
    <t>Le planning prévisionnel est interprété</t>
  </si>
  <si>
    <t>- Face à un ensemble de faits, des actions appropriées à poser sont décidées
- De façon à poser des actions au moment opportun dans un contexte déterminé, la prise en charge est adaptée selon les responsabilités
- Le travail est préparé de façon à satisfaire les exigences de qualité, d’efficacité et d’échéancier</t>
  </si>
  <si>
    <t>Total</t>
  </si>
  <si>
    <t>C06 : VALIDER UN SYSTÈME INFORMATIQUE</t>
  </si>
  <si>
    <t>Les exigences à valider sont identifiées dans le périmètre défini</t>
  </si>
  <si>
    <t>Les procédures de test sont établies</t>
  </si>
  <si>
    <t>Les tests (unitaires, d’intégration et autres) sont appliqués</t>
  </si>
  <si>
    <t>Les résultats de tests sont synthétisés pour évaluer la conformité globale</t>
  </si>
  <si>
    <t>Le document de recette est validé par le client et la recette est réalisée avec le client</t>
  </si>
  <si>
    <t>- Le travail est préparé de façon à satisfaire les exigences de qualité, d’efficacité et d’échéancier
- Le calme est conservé de façon constante dans des situations particulières, tout en persévérant dans la tâche jusqu’à l’atteinte du résultat sans se décourager
- Face à un ensemble de faits, des actions appropriées à poser sont décidées</t>
  </si>
  <si>
    <t>C09 : INSTALLER UN RÉSEAU INFORMATIQUE</t>
  </si>
  <si>
    <t>Les équipements nécessaires à la réponse au CDC (fourni par le client) sont identifiés</t>
  </si>
  <si>
    <t>Une procédure de configuration ou d’installation est déterminée ainsi que les points critiques, les procédures étant soumises à validation si nécessaire</t>
  </si>
  <si>
    <t>La ou les procédures choisies sont suivies</t>
  </si>
  <si>
    <t>Les activités sont menées en respectant les règles de sécurité</t>
  </si>
  <si>
    <t>Un compte-rendu du fonctionnement de l'installation est fourni (anomalies, difficultés et retours clients etc.)</t>
  </si>
  <si>
    <t>- Le style, le ton et la terminologie utilisés sont adaptés à la personne et aux circonstances
- Le travail est effectué selon les attentes exprimées de temps, de quantité ou de qualité
- Le travail est préparé de façon à satisfaire les exigences de qualité, d’efficacité et d’échéancier</t>
  </si>
  <si>
    <t>C11 : MAINTENIR UN RÉSEAU INFORMATIQUE</t>
  </si>
  <si>
    <t>Les outils logiciels et matériels permettant d’effectuer les tests et l’analyse du système d’information sont identifiés et mis en œuvre selon les spécifications</t>
  </si>
  <si>
    <t>Les résultats de tests et d’analyse sont interprétés de manière pertinente et les causes de l’incident sont localisées</t>
  </si>
  <si>
    <t>L’incident est résolu ou qualifié et escaladé, le service est opérationnel</t>
  </si>
  <si>
    <t>Le client est correctement informé et conseillé quant aux mesures de prévention possibles</t>
  </si>
  <si>
    <t>- Le style, le ton et la terminologie utilisés sont adaptés à la personne et aux circonstances
- Les risques d’une situation de travail sont repérés et les mesures appropriées pour sa santé, sa sécurité et celle des autres sont adoptées
- Face à un ensemble de faits, des actions appropriées à poser sont décidées</t>
  </si>
  <si>
    <t>points bonus</t>
  </si>
  <si>
    <t>/2</t>
  </si>
  <si>
    <t>Note proposée au jury de délibération</t>
  </si>
  <si>
    <t xml:space="preserve"> /20</t>
  </si>
  <si>
    <t>Note calculée</t>
  </si>
  <si>
    <t>Épreuve E5 : Mise en oeuvre de réseaux informatiques</t>
  </si>
  <si>
    <r>
      <rPr>
        <b/>
        <sz val="16"/>
        <color theme="1"/>
        <rFont val="Arial"/>
        <family val="2"/>
      </rPr>
      <t>SESSION 20</t>
    </r>
    <r>
      <rPr>
        <sz val="16"/>
        <color theme="1"/>
        <rFont val="Arial"/>
        <family val="2"/>
      </rPr>
      <t>xx</t>
    </r>
  </si>
  <si>
    <t>…</t>
  </si>
  <si>
    <t>Commentaires destinés à éclairer le jury:</t>
  </si>
  <si>
    <t>Prénom et nom et qualité  des membres de la commission :</t>
  </si>
  <si>
    <t>Curseur</t>
  </si>
  <si>
    <t xml:space="preserve">SESSION 2027</t>
  </si>
  <si>
    <t xml:space="preserve">Académie de Versailles</t>
  </si>
  <si>
    <t xml:space="preserve">Lycée Isaac Newton</t>
  </si>
  <si>
    <t xml:space="preserve">ABAID</t>
  </si>
  <si>
    <t xml:space="preserve">Soulaimane</t>
  </si>
  <si>
    <t xml:space="preserve">2025001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</si>
</sst>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;\-0;"/>
    <numFmt numFmtId="165" formatCode="0.00;\-0.00;"/>
  </numFmts>
  <fonts x14ac:knownFonts="1">
    <font>
      <sz val="11"/>
      <color theme="1"/>
      <name val="Calibri"/>
      <scheme val="minor"/>
    </font>
    <font>
      <b/>
      <sz val="2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26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b/>
      <sz val="2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i/>
      <sz val="11"/>
      <color theme="2" tint="-0.14999847407452621"/>
      <name val="Arial"/>
      <family val="2"/>
    </font>
    <font>
      <sz val="14"/>
      <name val="Arial"/>
      <family val="2"/>
    </font>
    <font>
      <b/>
      <sz val="18"/>
      <color rgb="FF000000"/>
      <name val="Arial"/>
      <family val="2"/>
    </font>
    <font>
      <sz val="18"/>
      <color theme="1"/>
      <name val="Arial"/>
      <family val="2"/>
    </font>
    <font>
      <i/>
      <sz val="11"/>
      <color theme="2" tint="-0.14999847407452621"/>
      <name val="Calibri (Corps)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1"/>
      <color rgb="FFFF0000"/>
      <name val="Calibri (Corps)"/>
    </font>
    <font>
      <sz val="11"/>
      <color rgb="FFFF0000"/>
      <name val="Calibri"/>
      <family val="2"/>
      <scheme val="minor"/>
    </font>
    <font>
      <b/>
      <sz val="26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rgb="FF000000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5"/>
        <bgColor rgb="FFFF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4" borderId="4" xfId="0" applyFont="1" applyFill="1" applyBorder="1" applyAlignment="1">
      <alignment vertical="center" wrapText="1"/>
    </xf>
    <xf numFmtId="0" fontId="20" fillId="4" borderId="4" xfId="0" applyFont="1" applyFill="1" applyBorder="1" applyAlignment="1">
      <alignment horizontal="center" vertical="center" textRotation="90" wrapText="1"/>
    </xf>
    <xf numFmtId="0" fontId="21" fillId="4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25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left" vertical="top" wrapText="1"/>
    </xf>
    <xf numFmtId="0" fontId="9" fillId="0" borderId="14" xfId="0" applyFont="1" applyBorder="1"/>
    <xf numFmtId="0" fontId="9" fillId="0" borderId="15" xfId="0" applyFont="1" applyBorder="1"/>
    <xf numFmtId="0" fontId="26" fillId="0" borderId="16" xfId="0" applyFont="1" applyBorder="1" applyAlignment="1">
      <alignment horizontal="left" vertical="top" wrapText="1"/>
    </xf>
    <xf numFmtId="0" fontId="9" fillId="0" borderId="17" xfId="0" applyFont="1" applyBorder="1"/>
    <xf numFmtId="0" fontId="26" fillId="0" borderId="18" xfId="0" applyFont="1" applyBorder="1" applyAlignment="1">
      <alignment horizontal="left" vertical="top" wrapText="1"/>
    </xf>
    <xf numFmtId="0" fontId="9" fillId="0" borderId="19" xfId="0" applyFont="1" applyBorder="1"/>
    <xf numFmtId="0" fontId="9" fillId="0" borderId="20" xfId="0" applyFont="1" applyBorder="1"/>
    <xf numFmtId="0" fontId="9" fillId="0" borderId="3" xfId="0" applyFont="1" applyBorder="1"/>
    <xf numFmtId="0" fontId="0" fillId="0" borderId="4" xfId="0" applyBorder="1"/>
    <xf numFmtId="12" fontId="17" fillId="6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top" wrapText="1"/>
    </xf>
    <xf numFmtId="0" fontId="9" fillId="0" borderId="4" xfId="0" applyFont="1" applyBorder="1"/>
    <xf numFmtId="0" fontId="21" fillId="0" borderId="4" xfId="0" applyFont="1" applyBorder="1" applyAlignment="1">
      <alignment horizontal="center" vertical="center"/>
    </xf>
    <xf numFmtId="164" fontId="15" fillId="9" borderId="4" xfId="0" applyNumberFormat="1" applyFont="1" applyFill="1" applyBorder="1" applyAlignment="1">
      <alignment horizontal="left" vertical="center" wrapText="1"/>
    </xf>
    <xf numFmtId="164" fontId="23" fillId="4" borderId="1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 applyAlignment="1">
      <alignment wrapText="1"/>
    </xf>
    <xf numFmtId="0" fontId="3" fillId="0" borderId="0" xfId="0" applyFont="1" applyAlignment="1">
      <alignment vertical="center"/>
    </xf>
    <xf numFmtId="12" fontId="29" fillId="9" borderId="21" xfId="0" applyNumberFormat="1" applyFont="1" applyFill="1" applyBorder="1" applyAlignment="1">
      <alignment horizontal="center" vertical="center" wrapText="1"/>
    </xf>
    <xf numFmtId="0" fontId="34" fillId="0" borderId="0" xfId="0" applyFont="1"/>
    <xf numFmtId="9" fontId="18" fillId="0" borderId="5" xfId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readingOrder="1"/>
    </xf>
    <xf numFmtId="12" fontId="29" fillId="0" borderId="4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 textRotation="90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5" borderId="10" xfId="0" quotePrefix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12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9" fontId="3" fillId="0" borderId="29" xfId="0" applyNumberFormat="1" applyFont="1" applyBorder="1" applyAlignment="1">
      <alignment horizontal="center" vertical="center"/>
    </xf>
    <xf numFmtId="9" fontId="14" fillId="2" borderId="34" xfId="0" applyNumberFormat="1" applyFont="1" applyFill="1" applyBorder="1" applyAlignment="1">
      <alignment horizontal="center" vertical="center"/>
    </xf>
    <xf numFmtId="164" fontId="15" fillId="8" borderId="35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27" fillId="0" borderId="1" xfId="0" quotePrefix="1" applyNumberFormat="1" applyFont="1" applyBorder="1" applyAlignment="1">
      <alignment horizontal="left" vertical="center" wrapText="1"/>
    </xf>
    <xf numFmtId="0" fontId="36" fillId="8" borderId="21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 wrapText="1"/>
    </xf>
    <xf numFmtId="0" fontId="13" fillId="15" borderId="37" xfId="0" applyFont="1" applyFill="1" applyBorder="1" applyAlignment="1">
      <alignment horizontal="center" vertical="center" wrapText="1"/>
    </xf>
    <xf numFmtId="12" fontId="17" fillId="6" borderId="32" xfId="0" applyNumberFormat="1" applyFont="1" applyFill="1" applyBorder="1" applyAlignment="1">
      <alignment horizontal="center" vertical="center"/>
    </xf>
    <xf numFmtId="12" fontId="17" fillId="6" borderId="38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49" fontId="27" fillId="0" borderId="1" xfId="0" quotePrefix="1" applyNumberFormat="1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/>
    <xf numFmtId="9" fontId="3" fillId="0" borderId="8" xfId="0" applyNumberFormat="1" applyFont="1" applyBorder="1" applyAlignment="1">
      <alignment horizontal="center" vertical="center" textRotation="90"/>
    </xf>
    <xf numFmtId="9" fontId="31" fillId="0" borderId="4" xfId="0" applyNumberFormat="1" applyFont="1" applyBorder="1" applyAlignment="1">
      <alignment horizontal="center" vertical="center" textRotation="90"/>
    </xf>
    <xf numFmtId="165" fontId="24" fillId="4" borderId="4" xfId="0" applyNumberFormat="1" applyFont="1" applyFill="1" applyBorder="1" applyAlignment="1">
      <alignment horizontal="center" vertical="center" wrapText="1"/>
    </xf>
    <xf numFmtId="164" fontId="23" fillId="4" borderId="4" xfId="0" applyNumberFormat="1" applyFont="1" applyFill="1" applyBorder="1" applyAlignment="1">
      <alignment horizontal="center" vertical="center" wrapText="1"/>
    </xf>
    <xf numFmtId="164" fontId="15" fillId="10" borderId="9" xfId="0" applyNumberFormat="1" applyFont="1" applyFill="1" applyBorder="1" applyAlignment="1">
      <alignment horizontal="center" vertical="center" wrapText="1"/>
    </xf>
    <xf numFmtId="0" fontId="22" fillId="10" borderId="11" xfId="0" quotePrefix="1" applyFont="1" applyFill="1" applyBorder="1" applyAlignment="1">
      <alignment horizontal="left" vertical="center"/>
    </xf>
    <xf numFmtId="12" fontId="42" fillId="0" borderId="4" xfId="0" applyNumberFormat="1" applyFont="1" applyBorder="1" applyAlignment="1">
      <alignment horizontal="center" vertical="center" wrapText="1"/>
    </xf>
    <xf numFmtId="165" fontId="33" fillId="4" borderId="11" xfId="0" applyNumberFormat="1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right" vertical="center" readingOrder="1"/>
    </xf>
    <xf numFmtId="0" fontId="44" fillId="0" borderId="0" xfId="0" applyFont="1"/>
    <xf numFmtId="0" fontId="44" fillId="0" borderId="0" xfId="0" quotePrefix="1" applyFont="1"/>
    <xf numFmtId="0" fontId="44" fillId="0" borderId="4" xfId="0" quotePrefix="1" applyFont="1" applyBorder="1"/>
    <xf numFmtId="12" fontId="30" fillId="9" borderId="5" xfId="0" applyNumberFormat="1" applyFont="1" applyFill="1" applyBorder="1" applyAlignment="1" applyProtection="1">
      <alignment horizontal="center" vertical="center"/>
      <protection locked="0"/>
    </xf>
    <xf numFmtId="0" fontId="30" fillId="4" borderId="5" xfId="0" applyFont="1" applyFill="1" applyBorder="1" applyAlignment="1" applyProtection="1">
      <alignment horizontal="center" vertical="center" wrapText="1"/>
      <protection locked="0"/>
    </xf>
    <xf numFmtId="164" fontId="15" fillId="5" borderId="42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 applyProtection="1">
      <alignment horizontal="center" vertical="center"/>
      <protection locked="0"/>
    </xf>
    <xf numFmtId="0" fontId="32" fillId="0" borderId="26" xfId="0" applyFont="1" applyBorder="1" applyAlignment="1" applyProtection="1">
      <alignment horizontal="center" vertical="center"/>
      <protection locked="0"/>
    </xf>
    <xf numFmtId="12" fontId="30" fillId="9" borderId="36" xfId="0" applyNumberFormat="1" applyFont="1" applyFill="1" applyBorder="1" applyAlignment="1" applyProtection="1">
      <alignment horizontal="center" vertical="center"/>
      <protection locked="0"/>
    </xf>
    <xf numFmtId="12" fontId="30" fillId="9" borderId="37" xfId="0" applyNumberFormat="1" applyFont="1" applyFill="1" applyBorder="1" applyAlignment="1" applyProtection="1">
      <alignment horizontal="center" vertical="center"/>
      <protection locked="0"/>
    </xf>
    <xf numFmtId="0" fontId="30" fillId="4" borderId="36" xfId="0" applyFont="1" applyFill="1" applyBorder="1" applyAlignment="1" applyProtection="1">
      <alignment horizontal="center" vertical="center" wrapText="1"/>
      <protection locked="0"/>
    </xf>
    <xf numFmtId="0" fontId="30" fillId="4" borderId="37" xfId="0" applyFont="1" applyFill="1" applyBorder="1" applyAlignment="1" applyProtection="1">
      <alignment horizontal="center" vertical="center" wrapText="1"/>
      <protection locked="0"/>
    </xf>
    <xf numFmtId="0" fontId="32" fillId="0" borderId="39" xfId="0" applyFont="1" applyBorder="1" applyAlignment="1" applyProtection="1">
      <alignment horizontal="center" vertical="center"/>
      <protection locked="0"/>
    </xf>
    <xf numFmtId="0" fontId="32" fillId="0" borderId="40" xfId="0" applyFont="1" applyBorder="1" applyAlignment="1" applyProtection="1">
      <alignment horizontal="center" vertical="center"/>
      <protection locked="0"/>
    </xf>
    <xf numFmtId="0" fontId="32" fillId="0" borderId="36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32" fillId="0" borderId="37" xfId="0" applyFont="1" applyBorder="1" applyAlignment="1" applyProtection="1">
      <alignment horizontal="center" vertical="center"/>
      <protection locked="0"/>
    </xf>
    <xf numFmtId="0" fontId="35" fillId="0" borderId="39" xfId="0" applyFont="1" applyBorder="1" applyAlignment="1" applyProtection="1">
      <alignment horizontal="center" vertical="center"/>
      <protection locked="0"/>
    </xf>
    <xf numFmtId="0" fontId="35" fillId="0" borderId="26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/>
      <protection locked="0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40" xfId="0" applyFont="1" applyBorder="1" applyAlignment="1" applyProtection="1">
      <alignment horizontal="center" vertical="center"/>
      <protection locked="0"/>
    </xf>
    <xf numFmtId="0" fontId="47" fillId="0" borderId="0" xfId="0" applyFont="1"/>
    <xf numFmtId="0" fontId="48" fillId="0" borderId="0" xfId="0" quotePrefix="1" applyFont="1"/>
    <xf numFmtId="0" fontId="17" fillId="0" borderId="0" xfId="0" quotePrefix="1" applyFont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0" xfId="0" quotePrefix="1" applyFont="1" applyAlignment="1">
      <alignment horizontal="right" vertical="top"/>
    </xf>
    <xf numFmtId="0" fontId="51" fillId="0" borderId="4" xfId="0" applyFont="1" applyBorder="1" applyAlignment="1">
      <alignment horizontal="right" vertical="top" wrapText="1"/>
    </xf>
    <xf numFmtId="12" fontId="52" fillId="9" borderId="21" xfId="0" applyNumberFormat="1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/>
      <protection locked="0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9" fontId="3" fillId="0" borderId="25" xfId="0" applyNumberFormat="1" applyFont="1" applyBorder="1" applyAlignment="1" applyProtection="1">
      <alignment horizontal="center" vertical="center"/>
      <protection locked="0"/>
    </xf>
    <xf numFmtId="9" fontId="3" fillId="0" borderId="28" xfId="0" applyNumberFormat="1" applyFont="1" applyBorder="1" applyAlignment="1" applyProtection="1">
      <alignment horizontal="center" vertical="center"/>
      <protection locked="0"/>
    </xf>
    <xf numFmtId="9" fontId="3" fillId="0" borderId="32" xfId="0" applyNumberFormat="1" applyFont="1" applyBorder="1" applyAlignment="1" applyProtection="1">
      <alignment horizontal="center" vertical="center"/>
      <protection locked="0"/>
    </xf>
    <xf numFmtId="9" fontId="3" fillId="0" borderId="33" xfId="0" applyNumberFormat="1" applyFont="1" applyBorder="1" applyAlignment="1" applyProtection="1">
      <alignment horizontal="center" vertical="center"/>
      <protection locked="0"/>
    </xf>
    <xf numFmtId="9" fontId="3" fillId="0" borderId="30" xfId="0" applyNumberFormat="1" applyFont="1" applyBorder="1" applyAlignment="1" applyProtection="1">
      <alignment horizontal="center" vertical="center"/>
      <protection locked="0"/>
    </xf>
    <xf numFmtId="9" fontId="3" fillId="0" borderId="31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righ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4" xfId="0" applyFont="1" applyBorder="1" applyAlignment="1" applyProtection="1">
      <alignment horizontal="center" vertical="center" wrapText="1"/>
      <protection locked="0"/>
    </xf>
    <xf numFmtId="0" fontId="33" fillId="0" borderId="22" xfId="0" applyFont="1" applyBorder="1" applyAlignment="1" applyProtection="1">
      <alignment horizontal="center" vertical="center" wrapText="1"/>
      <protection locked="0"/>
    </xf>
    <xf numFmtId="0" fontId="41" fillId="11" borderId="23" xfId="0" applyFont="1" applyFill="1" applyBorder="1" applyAlignment="1">
      <alignment horizontal="left" vertical="center" wrapText="1"/>
    </xf>
    <xf numFmtId="0" fontId="41" fillId="11" borderId="22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0" borderId="6" xfId="0" applyFont="1" applyFill="1" applyBorder="1"/>
    <xf numFmtId="0" fontId="2" fillId="10" borderId="7" xfId="0" applyFont="1" applyFill="1" applyBorder="1"/>
    <xf numFmtId="0" fontId="9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5" fillId="7" borderId="5" xfId="0" applyFont="1" applyFill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top" wrapText="1"/>
    </xf>
    <xf numFmtId="0" fontId="25" fillId="7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2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2" fillId="0" borderId="2" xfId="0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30" Type="http://customschemas.google.com/relationships/workbookmetadata" Target="metadata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428680</xdr:colOff>
      <xdr:row>25</xdr:row>
      <xdr:rowOff>2744</xdr:rowOff>
    </xdr:from>
    <xdr:to>
      <xdr:col>5</xdr:col>
      <xdr:colOff>428680</xdr:colOff>
      <xdr:row>26</xdr:row>
      <xdr:rowOff>10174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1453868" y="8372838"/>
          <a:ext cx="0" cy="50154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413394</xdr:colOff>
      <xdr:row>38</xdr:row>
      <xdr:rowOff>7344</xdr:rowOff>
    </xdr:from>
    <xdr:to>
      <xdr:col>5</xdr:col>
      <xdr:colOff>413394</xdr:colOff>
      <xdr:row>38</xdr:row>
      <xdr:rowOff>489179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438582" y="12550579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421919</xdr:colOff>
      <xdr:row>51</xdr:row>
      <xdr:rowOff>400</xdr:rowOff>
    </xdr:from>
    <xdr:to>
      <xdr:col>5</xdr:col>
      <xdr:colOff>421919</xdr:colOff>
      <xdr:row>51</xdr:row>
      <xdr:rowOff>476249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447107" y="16901323"/>
          <a:ext cx="0" cy="47584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413789</xdr:colOff>
      <xdr:row>62</xdr:row>
      <xdr:rowOff>492891</xdr:rowOff>
    </xdr:from>
    <xdr:to>
      <xdr:col>5</xdr:col>
      <xdr:colOff>413789</xdr:colOff>
      <xdr:row>64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438977" y="21060939"/>
          <a:ext cx="0" cy="495327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835068</xdr:colOff>
      <xdr:row>25</xdr:row>
      <xdr:rowOff>19951</xdr:rowOff>
    </xdr:from>
    <xdr:to>
      <xdr:col>5</xdr:col>
      <xdr:colOff>846589</xdr:colOff>
      <xdr:row>25</xdr:row>
      <xdr:rowOff>482774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11880154" y="8409780"/>
          <a:ext cx="11521" cy="46282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842638</xdr:colOff>
      <xdr:row>38</xdr:row>
      <xdr:rowOff>11056</xdr:rowOff>
    </xdr:from>
    <xdr:to>
      <xdr:col>5</xdr:col>
      <xdr:colOff>842638</xdr:colOff>
      <xdr:row>38</xdr:row>
      <xdr:rowOff>492891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1887724" y="12582752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832162</xdr:colOff>
      <xdr:row>51</xdr:row>
      <xdr:rowOff>13810</xdr:rowOff>
    </xdr:from>
    <xdr:to>
      <xdr:col>5</xdr:col>
      <xdr:colOff>832162</xdr:colOff>
      <xdr:row>52</xdr:row>
      <xdr:rowOff>7653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1877248" y="16950043"/>
          <a:ext cx="0" cy="48966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843604</xdr:colOff>
      <xdr:row>63</xdr:row>
      <xdr:rowOff>6765</xdr:rowOff>
    </xdr:from>
    <xdr:to>
      <xdr:col>5</xdr:col>
      <xdr:colOff>843604</xdr:colOff>
      <xdr:row>63</xdr:row>
      <xdr:rowOff>493194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1888690" y="21111817"/>
          <a:ext cx="0" cy="48642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</xdr:colOff>
      <xdr:row>24</xdr:row>
      <xdr:rowOff>483253</xdr:rowOff>
    </xdr:from>
    <xdr:to>
      <xdr:col>6</xdr:col>
      <xdr:colOff>8255</xdr:colOff>
      <xdr:row>25</xdr:row>
      <xdr:rowOff>488427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2329123" y="8332974"/>
          <a:ext cx="0" cy="49823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5513</xdr:colOff>
      <xdr:row>38</xdr:row>
      <xdr:rowOff>4031</xdr:rowOff>
    </xdr:from>
    <xdr:to>
      <xdr:col>6</xdr:col>
      <xdr:colOff>5513</xdr:colOff>
      <xdr:row>38</xdr:row>
      <xdr:rowOff>486622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2326381" y="12521002"/>
          <a:ext cx="0" cy="48259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8085</xdr:colOff>
      <xdr:row>51</xdr:row>
      <xdr:rowOff>4376</xdr:rowOff>
    </xdr:from>
    <xdr:to>
      <xdr:col>6</xdr:col>
      <xdr:colOff>8085</xdr:colOff>
      <xdr:row>51</xdr:row>
      <xdr:rowOff>489077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2328953" y="16874832"/>
          <a:ext cx="0" cy="48470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5182</xdr:colOff>
      <xdr:row>63</xdr:row>
      <xdr:rowOff>26993</xdr:rowOff>
    </xdr:from>
    <xdr:to>
      <xdr:col>6</xdr:col>
      <xdr:colOff>5182</xdr:colOff>
      <xdr:row>64</xdr:row>
      <xdr:rowOff>17504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2326050" y="21054832"/>
          <a:ext cx="0" cy="48357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8323</xdr:colOff>
      <xdr:row>25</xdr:row>
      <xdr:rowOff>17391</xdr:rowOff>
    </xdr:from>
    <xdr:to>
      <xdr:col>6</xdr:col>
      <xdr:colOff>11309</xdr:colOff>
      <xdr:row>26</xdr:row>
      <xdr:rowOff>6809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>
          <a:off x="12336394" y="8406195"/>
          <a:ext cx="2986" cy="486078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13882</xdr:colOff>
      <xdr:row>38</xdr:row>
      <xdr:rowOff>14981</xdr:rowOff>
    </xdr:from>
    <xdr:to>
      <xdr:col>6</xdr:col>
      <xdr:colOff>13882</xdr:colOff>
      <xdr:row>39</xdr:row>
      <xdr:rowOff>2272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12341953" y="12560767"/>
          <a:ext cx="0" cy="483952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16454</xdr:colOff>
      <xdr:row>51</xdr:row>
      <xdr:rowOff>3329</xdr:rowOff>
    </xdr:from>
    <xdr:to>
      <xdr:col>6</xdr:col>
      <xdr:colOff>16454</xdr:colOff>
      <xdr:row>52</xdr:row>
      <xdr:rowOff>300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12344525" y="16882990"/>
          <a:ext cx="0" cy="49363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8324</xdr:colOff>
      <xdr:row>63</xdr:row>
      <xdr:rowOff>13822</xdr:rowOff>
    </xdr:from>
    <xdr:to>
      <xdr:col>6</xdr:col>
      <xdr:colOff>8324</xdr:colOff>
      <xdr:row>63</xdr:row>
      <xdr:rowOff>496332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12336395" y="21043662"/>
          <a:ext cx="0" cy="48251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139700</xdr:rowOff>
    </xdr:from>
    <xdr:to>
      <xdr:col>10</xdr:col>
      <xdr:colOff>759182</xdr:colOff>
      <xdr:row>33</xdr:row>
      <xdr:rowOff>50800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507458-DF85-0B03-2AA2-51D7B90C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200"/>
          <a:ext cx="9033232" cy="6007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1819275</xdr:colOff>
      <xdr:row>3</xdr:row>
      <xdr:rowOff>0</xdr:rowOff>
    </xdr:from>
    <xdr:ext cx="3648075" cy="16002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51A7DB97-F831-4756-A377-6E854E1CC47C}"/>
            </a:ext>
          </a:extLst>
        </xdr:cNvPr>
        <xdr:cNvSpPr/>
      </xdr:nvSpPr>
      <xdr:spPr>
        <a:xfrm>
          <a:off x="2533650" y="571500"/>
          <a:ext cx="3648075" cy="16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600" b="1" cap="none">
              <a:solidFill>
                <a:srgbClr val="D5DBE5"/>
              </a:solidFill>
            </a:rPr>
            <a:t>DRAFT</a:t>
          </a:r>
          <a:endParaRPr sz="1400"/>
        </a:p>
      </xdr:txBody>
    </xdr:sp>
    <xdr:clientData fLocksWithSheet="0"/>
  </xdr:oneCellAnchor>
  <xdr:oneCellAnchor>
    <xdr:from>
      <xdr:col>0</xdr:col>
      <xdr:colOff>381000</xdr:colOff>
      <xdr:row>2</xdr:row>
      <xdr:rowOff>0</xdr:rowOff>
    </xdr:from>
    <xdr:ext cx="2057400" cy="1924050"/>
    <xdr:pic>
      <xdr:nvPicPr>
        <xdr:cNvPr id="3" name="image1.png">
          <a:extLst>
            <a:ext uri="{FF2B5EF4-FFF2-40B4-BE49-F238E27FC236}">
              <a16:creationId xmlns:a16="http://schemas.microsoft.com/office/drawing/2014/main" id="{0CA1A921-EC9F-4D84-B78B-06B3C169E702}"/>
            </a:ext>
            <a:ext uri="{147F2762-F138-4A5C-976F-8EAC2B608ADB}">
              <a16:predDERef xmlns:a16="http://schemas.microsoft.com/office/drawing/2014/main" pred="{51A7DB97-F831-4756-A377-6E854E1CC4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381000"/>
          <a:ext cx="2057400" cy="1924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bauvin/Desktop/renovation%20Bac%20Pro%20SEN%20-%20CPC_2013/CPC%20du%205%20et%206%20nov2015/Savoirs-Comp&#233;tences%20-%20BCP%20SN%20au%2006-11-2015_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voirs-compétences TCx"/>
      <sheetName val="savoirs-compétences TC"/>
      <sheetName val="unités constitutives TC"/>
      <sheetName val="savoirs-compétences SSIHT"/>
      <sheetName val="unités constitutives SSIHT"/>
      <sheetName val="savoirs-compétences RISC"/>
      <sheetName val="savoirs-compétences RISCx"/>
      <sheetName val="unités constitutives RISC"/>
      <sheetName val="savoirs-compétences ARED"/>
      <sheetName val="unités constitutives ARED"/>
      <sheetName val="savoirs-compétences ARE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outlinePr summaryBelow="0"/>
    <pageSetUpPr fitToPage="1"/>
  </sheetPr>
  <sheetViews>
    <sheetView tabSelected="1" zoomScale="80" zoomScaleNormal="80" workbookViewId="0">
      <selection activeCell="F21" sqref="F21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5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>IF(C20="x",0,IF(D20="x",1,IF(E20="x",2,IF(F20="x",3,IF(TRUE,"")))))</f>
      </c>
      <c r="H20" s="86">
        <f>COUNTBLANK(C20:F20)</f>
      </c>
      <c r="I20" s="110">
        <f t="shared" ref="I20:I24" si="0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ref="G21:G24" si="1">IF(C21="x",0,IF(D21="x",1,IF(E21="x",2,IF(F21="x",3,IF(TRUE,"")))))</f>
      </c>
      <c r="H21" s="86">
        <f t="shared" ref="H21:H24" si="2">COUNTBLANK(C21:F21)</f>
      </c>
      <c r="I21" s="110">
        <f t="shared" si="0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1"/>
      </c>
      <c r="H22" s="86">
        <f t="shared" si="2"/>
      </c>
      <c r="I22" s="110">
        <f t="shared" si="0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1"/>
      </c>
      <c r="H24" s="86">
        <f t="shared" si="2"/>
      </c>
      <c r="I24" s="110">
        <f t="shared" si="0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1">
        <f>+F25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2">
        <f>F38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2">
        <f>F51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2">
        <f>F63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11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FiLilG5SUOE5LX6vgFzREh8NH0wxsd9Yg896HNa1q4bFncoT9o2ZBoWVO8Gk5uQ3Wiz2zfqQprHns4Y8WEHBsA==" saltValue="CT+Jfyd2OIOucQzmp4Q2G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9"/>
        <color theme="4" tint="0.39997558519241921"/>
      </dataBar>
      <extLst>
        <ext xmlns:x14="http://schemas.microsoft.com/office/spreadsheetml/2009/9/main" uri="{B025F937-C7B1-47D3-B67F-A62EFF666E3E}">
          <x14:id>{B17BF186-3186-4F43-B4A3-9EEACF44D5AC}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7BF186-3186-4F43-B4A3-9EEACF44D5AC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outlinePr summaryBelow="0"/>
    <pageSetUpPr fitToPage="1"/>
  </sheetPr>
  <sheetViews>
    <sheetView topLeftCell="A14" zoomScale="80" zoomScaleNormal="80" workbookViewId="0">
      <selection activeCell="E57" sqref="E57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1640625" style="53" customWidth="1"/>
    <col min="8" max="8" width="1.3320312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SEMESTRE1 E5-IR'!F25/2)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SEMESTRE1 E5-IR'!F38/2)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SEMESTRE1 E5-IR'!F51/2)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SEMESTRE1 E5-IR'!F63/2)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HXu5ECM2GJh+Wobao7gSWcALJyyWvulApP85s++S1fYwqm7AMSuxMKgjrXQhXX3Mn+1em2CTNWHm961IMd6LkQ==" saltValue="ue0I9hFdCu5DsZfB3GOl9Q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4.5"/>
        <color theme="4" tint="0.39997558519241921"/>
      </dataBar>
      <extLst>
        <ext xmlns:x14="http://schemas.microsoft.com/office/spreadsheetml/2009/9/main" uri="{B025F937-C7B1-47D3-B67F-A62EFF666E3E}">
          <x14:id>{225F3FDA-157E-4214-A350-BD36731B47AD}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F3FDA-157E-4214-A350-BD36731B47AD}">
            <x14:dataBar minLength="0" maxLength="100" gradient="0">
              <x14:cfvo type="num">
                <xm:f>0</xm:f>
              </x14:cfvo>
              <x14:cfvo type="num">
                <xm:f>4.5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outlinePr summaryBelow="0"/>
    <pageSetUpPr fitToPage="1"/>
  </sheetPr>
  <sheetViews>
    <sheetView topLeftCell="A14" zoomScale="73" zoomScaleNormal="32" workbookViewId="0">
      <selection activeCell="F21" sqref="F21: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SEMESTRE2 E5-IR'!F26*2/3)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SEMESTRE2 E5-IR'!F39*2/3)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SEMESTRE2 E5-IR'!F52*2/3)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SEMESTRE2 E5-IR'!F64*2/3)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cLSGmEsUuqU2MV97LbpnO5aEXGajhmJ4HO6m+5tu6CWFhyC12XS/hhUQGKoA92eiR65+6W39nDrCdb4Kwwfakw==" saltValue="hJhWrGH9mJvKhHdy+v3tk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39 F26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{7FEE1772-2493-45D7-B7BE-BB9578232A51}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E1772-2493-45D7-B7BE-BB9578232A51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F39 F26 F52 F64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  <outlinePr summaryBelow="0"/>
    <pageSetUpPr fitToPage="1"/>
  </sheetPr>
  <sheetViews>
    <sheetView topLeftCell="A8" zoomScale="70" zoomScaleNormal="70" workbookViewId="0">
      <selection activeCell="C25" sqref="C25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2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SEMESTRE3 E5-IR'!F26)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5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ref="G37" si="6">IF(C37="x",0,IF(D37="x",1,IF(E37="x",2,IF(F37="x",3,IF(TRUE,"")))))</f>
      </c>
      <c r="H37" s="86">
        <f t="shared" ref="H37" si="7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SEMESTRE3 E5-IR'!F39)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8">IF(C44="x",0,IF(D44="x",1,IF(E44="x",2,IF(F44="x",3,IF(TRUE,"")))))</f>
      </c>
      <c r="H44" s="86">
        <f>COUNTBLANK(C44:F44)</f>
      </c>
      <c r="I44" s="110">
        <f t="shared" ref="I44:I50" si="9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8"/>
      </c>
      <c r="H45" s="86">
        <f t="shared" ref="H45:H48" si="10">COUNTBLANK(C45:F45)</f>
      </c>
      <c r="I45" s="110">
        <f t="shared" si="9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8"/>
      </c>
      <c r="H46" s="86">
        <f t="shared" si="10"/>
      </c>
      <c r="I46" s="110">
        <f t="shared" si="9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8"/>
      </c>
      <c r="H47" s="86">
        <f t="shared" si="10"/>
      </c>
      <c r="I47" s="110">
        <f t="shared" si="9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8"/>
      </c>
      <c r="H48" s="86">
        <f t="shared" si="10"/>
      </c>
      <c r="I48" s="110">
        <f t="shared" si="9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8"/>
      </c>
      <c r="H50" s="86">
        <f t="shared" ref="H50" si="11">COUNTBLANK(C50:F50)</f>
      </c>
      <c r="I50" s="110">
        <f t="shared" si="9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SEMESTRE3 E5-IR'!F52)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2">IF(C57="x",0,IF(D57="x",1,IF(E57="x",2,IF(F57="x",3,IF(TRUE,"")))))</f>
      </c>
      <c r="H57" s="86">
        <f t="shared" ref="H57:H62" si="13">COUNTBLANK(C57:F57)</f>
      </c>
      <c r="I57" s="110">
        <f t="shared" ref="I57:I62" si="14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2"/>
      </c>
      <c r="H58" s="86">
        <f t="shared" si="13"/>
      </c>
      <c r="I58" s="110">
        <f t="shared" si="14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2"/>
      </c>
      <c r="H59" s="86">
        <f t="shared" si="13"/>
      </c>
      <c r="I59" s="110">
        <f t="shared" si="14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2"/>
      </c>
      <c r="H60" s="86">
        <f t="shared" si="13"/>
      </c>
      <c r="I60" s="110">
        <f t="shared" si="14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1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2"/>
      </c>
      <c r="H62" s="86">
        <f t="shared" si="13"/>
      </c>
      <c r="I62" s="110">
        <f t="shared" si="14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SEMESTRE3 E5-IR'!F64)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GlOSXK90xeQdj4HDFC0grbQGWfGhlYepb7Gje2G3vIztDqfPtTU/nb3N7h35uiuE2vofBaCGvsW7Tyj+qUZBaw==" saltValue="24TYeJ+kZDpGUPKHDfB8+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{A37878BD-F361-48C1-AD03-DDF57EC7C04E}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878BD-F361-48C1-AD03-DDF57EC7C04E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tabColor theme="4" tint="0.39997558519241921"/>
    <outlinePr summaryBelow="0"/>
    <pageSetUpPr fitToPage="1"/>
  </sheetPr>
  <sheetViews>
    <sheetView topLeftCell="A8" zoomScale="89" workbookViewId="0">
      <selection activeCell="F24" sqref="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.83203125" style="53" bestFit="1" customWidth="1"/>
    <col min="8" max="8" width="3.83203125" style="35" bestFit="1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39" customHeight="1" outlineLevel="1" x14ac:dyDescent="0.2">
      <c r="A19" s="77"/>
      <c r="B19" s="38"/>
      <c r="C19" s="47"/>
      <c r="D19" s="34"/>
      <c r="E19" t="s" s="34">
        <v>30</v>
      </c>
      <c r="F19" s="64">
        <f>'E5-FICHE SEMESTRE4 E5-IR'!F26</f>
      </c>
      <c r="G19" s="86"/>
      <c r="H19" s="86"/>
      <c r="I19" s="11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1" customHeight="1" outlineLevel="1" x14ac:dyDescent="0.2">
      <c r="A20" s="45"/>
      <c r="B20" s="48"/>
      <c r="C20" s="43"/>
      <c r="D20" s="43"/>
      <c r="E20" s="2"/>
      <c r="F20" s="51"/>
      <c r="G20" s="87"/>
      <c r="H20" s="86"/>
      <c r="I20" s="11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18.75" customHeight="1" outlineLevel="1" x14ac:dyDescent="0.2">
      <c r="A21" s="78"/>
      <c r="B21" s="46"/>
      <c r="C21" t="s" s="122">
        <v>11</v>
      </c>
      <c r="D21" s="123"/>
      <c r="E21" s="123"/>
      <c r="F21" s="124"/>
      <c r="G21" s="54"/>
      <c r="H21" s="31"/>
      <c r="I21" s="11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8.75" customHeight="1" outlineLevel="1" thickBot="1" x14ac:dyDescent="0.25">
      <c r="A22" s="78"/>
      <c r="B22" s="46"/>
      <c r="C22" t="s" s="65">
        <v>12</v>
      </c>
      <c r="D22" t="s" s="6">
        <v>13</v>
      </c>
      <c r="E22" t="s" s="6">
        <v>14</v>
      </c>
      <c r="F22" t="s" s="66">
        <v>15</v>
      </c>
      <c r="G22" s="54"/>
      <c r="H22" s="31"/>
      <c r="I22" s="11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45" customHeight="1" thickBot="1" x14ac:dyDescent="0.25">
      <c r="A23" s="58">
        <v>0.2</v>
      </c>
      <c r="B23" t="s" s="59">
        <v>31</v>
      </c>
      <c r="C23" t="s" s="67">
        <v>17</v>
      </c>
      <c r="D23" t="s" s="55">
        <v>18</v>
      </c>
      <c r="E23" t="s" s="56">
        <v>19</v>
      </c>
      <c r="F23" t="s" s="68">
        <v>20</v>
      </c>
      <c r="G23" s="54"/>
      <c r="H23" s="33"/>
      <c r="I23" s="11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1"/>
      <c r="AB23" s="31"/>
      <c r="AC23" s="31"/>
      <c r="AD23" s="31"/>
      <c r="AE23" s="31"/>
      <c r="AF23" s="31"/>
    </row>
    <row r="24" spans="1:32" ht="39" customHeight="1" outlineLevel="1" x14ac:dyDescent="0.2">
      <c r="A24" s="77"/>
      <c r="B24" s="38"/>
      <c r="C24" s="47"/>
      <c r="D24" s="34"/>
      <c r="E24" t="s" s="34">
        <v>30</v>
      </c>
      <c r="F24" s="64">
        <f>'E5-FICHE SEMESTRE4 E5-IR'!F39</f>
      </c>
      <c r="G24" s="54"/>
      <c r="H24" s="31"/>
      <c r="I24" s="11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11" customHeight="1" outlineLevel="1" x14ac:dyDescent="0.2">
      <c r="A25" s="45"/>
      <c r="B25" s="38"/>
      <c r="C25" s="47"/>
      <c r="D25" s="41"/>
      <c r="E25" s="41"/>
      <c r="F25" s="42"/>
      <c r="G25" s="54"/>
      <c r="H25" s="31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15.75" customHeight="1" outlineLevel="1" x14ac:dyDescent="0.2">
      <c r="A26" s="78"/>
      <c r="B26" s="46"/>
      <c r="C26" t="s" s="122">
        <v>11</v>
      </c>
      <c r="D26" s="123"/>
      <c r="E26" s="123"/>
      <c r="F26" s="124"/>
      <c r="G26" s="54"/>
      <c r="H26" s="31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5.75" customHeight="1" outlineLevel="1" thickBot="1" x14ac:dyDescent="0.25">
      <c r="A27" s="78"/>
      <c r="B27" s="46"/>
      <c r="C27" t="s" s="65">
        <v>12</v>
      </c>
      <c r="D27" t="s" s="6">
        <v>13</v>
      </c>
      <c r="E27" t="s" s="6">
        <v>14</v>
      </c>
      <c r="F27" t="s" s="66">
        <v>15</v>
      </c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45" customHeight="1" thickBot="1" x14ac:dyDescent="0.25">
      <c r="A28" s="58">
        <v>0.3</v>
      </c>
      <c r="B28" t="s" s="59">
        <v>38</v>
      </c>
      <c r="C28" t="s" s="67">
        <v>17</v>
      </c>
      <c r="D28" t="s" s="55">
        <v>18</v>
      </c>
      <c r="E28" t="s" s="56">
        <v>19</v>
      </c>
      <c r="F28" t="s" s="68">
        <v>20</v>
      </c>
      <c r="G28" s="54"/>
      <c r="H28" s="33"/>
      <c r="I28" s="110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1"/>
      <c r="AB28" s="31"/>
      <c r="AC28" s="31"/>
      <c r="AD28" s="31"/>
      <c r="AE28" s="31"/>
      <c r="AF28" s="31"/>
    </row>
    <row r="29" spans="1:32" ht="39" customHeight="1" outlineLevel="1" x14ac:dyDescent="0.2">
      <c r="A29" s="77"/>
      <c r="B29" s="38"/>
      <c r="C29" s="47"/>
      <c r="D29" s="34"/>
      <c r="E29" t="s" s="34">
        <v>30</v>
      </c>
      <c r="F29" s="64">
        <f>'E5-FICHE SEMESTRE4 E5-IR'!F52</f>
      </c>
      <c r="G29" s="86"/>
      <c r="H29" s="31"/>
      <c r="I29" s="11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11" customHeight="1" outlineLevel="1" x14ac:dyDescent="0.2">
      <c r="A30" s="45"/>
      <c r="B30" s="38"/>
      <c r="C30" s="47"/>
      <c r="D30" s="41"/>
      <c r="E30" s="41"/>
      <c r="F30" s="42"/>
      <c r="G30" s="86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5.75" customHeight="1" outlineLevel="1" x14ac:dyDescent="0.2">
      <c r="A31" s="78"/>
      <c r="B31" s="46"/>
      <c r="C31" t="s" s="122">
        <v>11</v>
      </c>
      <c r="D31" s="123"/>
      <c r="E31" s="123"/>
      <c r="F31" s="124"/>
      <c r="G31" s="86"/>
      <c r="H31" s="31"/>
      <c r="I31" s="11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5.75" customHeight="1" outlineLevel="1" thickBot="1" x14ac:dyDescent="0.25">
      <c r="A32" s="78"/>
      <c r="B32" s="24"/>
      <c r="C32" t="s" s="65">
        <v>12</v>
      </c>
      <c r="D32" t="s" s="6">
        <v>13</v>
      </c>
      <c r="E32" t="s" s="6">
        <v>14</v>
      </c>
      <c r="F32" t="s" s="66">
        <v>15</v>
      </c>
      <c r="G32" s="86"/>
      <c r="H32" s="31"/>
      <c r="I32" s="11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45" customHeight="1" thickBot="1" x14ac:dyDescent="0.25">
      <c r="A33" s="58">
        <v>0.3</v>
      </c>
      <c r="B33" t="s" s="59">
        <v>45</v>
      </c>
      <c r="C33" t="s" s="67">
        <v>17</v>
      </c>
      <c r="D33" t="s" s="55">
        <v>18</v>
      </c>
      <c r="E33" t="s" s="56">
        <v>19</v>
      </c>
      <c r="F33" t="s" s="68">
        <v>20</v>
      </c>
      <c r="G33" s="86"/>
      <c r="H33" s="33"/>
      <c r="I33" s="110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1"/>
      <c r="AB33" s="31"/>
      <c r="AC33" s="31"/>
      <c r="AD33" s="31"/>
      <c r="AE33" s="31"/>
      <c r="AF33" s="31"/>
    </row>
    <row r="34" spans="1:32" ht="39" customHeight="1" outlineLevel="1" x14ac:dyDescent="0.15">
      <c r="A34" s="77"/>
      <c r="B34" s="40"/>
      <c r="C34" s="47"/>
      <c r="D34" s="34"/>
      <c r="E34" t="s" s="34">
        <v>30</v>
      </c>
      <c r="F34" s="64">
        <f>'E5-FICHE SEMESTRE4 E5-IR'!F64</f>
      </c>
      <c r="G34" s="5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1" customHeight="1" outlineLevel="1" x14ac:dyDescent="0.15">
      <c r="A35" s="45"/>
      <c r="B35" s="40"/>
      <c r="C35" s="47"/>
      <c r="D35" s="41"/>
      <c r="E35" s="41"/>
      <c r="F35" s="42"/>
      <c r="G35" s="5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39" customHeight="1" outlineLevel="1" thickBot="1" x14ac:dyDescent="0.2">
      <c r="A36" s="45"/>
      <c r="B36" t="s" s="85">
        <v>51</v>
      </c>
      <c r="C36" s="92"/>
      <c r="D36" t="s" s="83">
        <v>52</v>
      </c>
      <c r="E36" s="41"/>
      <c r="F36" s="42"/>
      <c r="G36" s="5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6" outlineLevel="1" thickBot="1" x14ac:dyDescent="0.25">
      <c r="A37" t="s" s="116">
        <v>53</v>
      </c>
      <c r="B37" s="117"/>
      <c r="C37" s="91"/>
      <c r="D37" t="s" s="50">
        <v>54</v>
      </c>
      <c r="E37" t="s" s="30">
        <v>55</v>
      </c>
      <c r="F37" s="84">
        <f>(F19*A18+F24*A23+F29*A28+F34*A33)*20/3+C36</f>
      </c>
      <c r="G37" s="88"/>
      <c r="H37" s="8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15.75" customHeight="1" x14ac:dyDescent="0.15">
      <c r="A38" s="37"/>
      <c r="B38" s="1"/>
      <c r="C38" s="2"/>
      <c r="D38" s="2"/>
      <c r="E38" s="2"/>
      <c r="F38" s="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15.75" customHeight="1" x14ac:dyDescent="0.15">
      <c r="A39" s="37"/>
      <c r="B39" s="1"/>
      <c r="C39" s="2"/>
      <c r="D39" s="2"/>
      <c r="E39" s="2"/>
      <c r="F39" s="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x14ac:dyDescent="0.15">
      <c r="A40" s="37"/>
      <c r="B40" s="1"/>
      <c r="C40" s="2"/>
      <c r="D40" s="2"/>
      <c r="E40" s="2"/>
      <c r="F40" s="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x14ac:dyDescent="0.15">
      <c r="A41" s="37"/>
      <c r="B41" s="1"/>
      <c r="C41" s="2"/>
      <c r="D41" s="2"/>
      <c r="E41" s="2"/>
      <c r="F41" s="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15.75" customHeight="1" x14ac:dyDescent="0.15">
      <c r="A42" s="37"/>
      <c r="B42" s="1"/>
      <c r="C42" s="2"/>
      <c r="D42" s="2"/>
      <c r="E42" s="2"/>
      <c r="F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15.75" customHeight="1" x14ac:dyDescent="0.15">
      <c r="A43" s="37"/>
      <c r="B43" s="1"/>
      <c r="C43" s="2"/>
      <c r="D43" s="2"/>
      <c r="E43" s="2"/>
      <c r="F43" s="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5.75" customHeight="1" x14ac:dyDescent="0.15">
      <c r="A44" s="37"/>
      <c r="B44" s="1"/>
      <c r="C44" s="2"/>
      <c r="D44" s="2"/>
      <c r="E44" s="2"/>
      <c r="F44" s="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15.75" customHeight="1" x14ac:dyDescent="0.15">
      <c r="A45" s="37"/>
      <c r="B45" s="1"/>
      <c r="C45" s="2"/>
      <c r="D45" s="2"/>
      <c r="E45" s="2"/>
      <c r="F45" s="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5.75" customHeight="1" x14ac:dyDescent="0.15">
      <c r="A46" s="37"/>
      <c r="B46" s="1"/>
      <c r="C46" s="2"/>
      <c r="D46" s="2"/>
      <c r="E46" s="2"/>
      <c r="F46" s="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5.75" customHeight="1" x14ac:dyDescent="0.15">
      <c r="A47" s="37"/>
      <c r="B47" s="1"/>
      <c r="C47" s="2"/>
      <c r="D47" s="2"/>
      <c r="E47" s="2"/>
      <c r="F47" s="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15.75" customHeight="1" x14ac:dyDescent="0.15">
      <c r="A48" s="37"/>
      <c r="B48" s="1"/>
      <c r="C48" s="2"/>
      <c r="D48" s="2"/>
      <c r="E48" s="2"/>
      <c r="F48" s="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15.75" customHeight="1" x14ac:dyDescent="0.15">
      <c r="A49" s="37"/>
      <c r="B49" s="1"/>
      <c r="C49" s="2"/>
      <c r="D49" s="2"/>
      <c r="E49" s="2"/>
      <c r="F49" s="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15.75" customHeight="1" x14ac:dyDescent="0.15">
      <c r="A50" s="37"/>
      <c r="B50" s="1"/>
      <c r="C50" s="2"/>
      <c r="D50" s="2"/>
      <c r="E50" s="2"/>
      <c r="F50" s="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15.75" customHeight="1" x14ac:dyDescent="0.15">
      <c r="A51" s="37"/>
      <c r="B51" s="1"/>
      <c r="C51" s="2"/>
      <c r="D51" s="2"/>
      <c r="E51" s="2"/>
      <c r="F51" s="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15.75" customHeight="1" x14ac:dyDescent="0.15">
      <c r="A52" s="37"/>
      <c r="B52" s="1"/>
      <c r="C52" s="2"/>
      <c r="D52" s="2"/>
      <c r="E52" s="2"/>
      <c r="F52" s="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x14ac:dyDescent="0.15">
      <c r="A53" s="37"/>
      <c r="B53" s="1"/>
      <c r="C53" s="2"/>
      <c r="D53" s="2"/>
      <c r="E53" s="2"/>
      <c r="F53" s="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x14ac:dyDescent="0.15">
      <c r="A54" s="37"/>
      <c r="B54" s="1"/>
      <c r="C54" s="2"/>
      <c r="D54" s="2"/>
      <c r="E54" s="2"/>
      <c r="F54" s="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15.75" customHeight="1" x14ac:dyDescent="0.15">
      <c r="A55" s="37"/>
      <c r="B55" s="1"/>
      <c r="C55" s="2"/>
      <c r="D55" s="2"/>
      <c r="E55" s="2"/>
      <c r="F55" s="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15.75" customHeight="1" x14ac:dyDescent="0.15">
      <c r="A56" s="37"/>
      <c r="B56" s="1"/>
      <c r="C56" s="2"/>
      <c r="D56" s="2"/>
      <c r="E56" s="2"/>
      <c r="F56" s="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15.75" customHeight="1" x14ac:dyDescent="0.15">
      <c r="A57" s="37"/>
      <c r="B57" s="1"/>
      <c r="C57" s="2"/>
      <c r="D57" s="2"/>
      <c r="E57" s="2"/>
      <c r="F57" s="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15.75" customHeight="1" x14ac:dyDescent="0.15">
      <c r="A58" s="37"/>
      <c r="B58" s="1"/>
      <c r="C58" s="2"/>
      <c r="D58" s="2"/>
      <c r="E58" s="2"/>
      <c r="F58" s="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5.75" customHeight="1" x14ac:dyDescent="0.15">
      <c r="A59" s="37"/>
      <c r="B59" s="1"/>
      <c r="C59" s="2"/>
      <c r="D59" s="2"/>
      <c r="E59" s="2"/>
      <c r="F59" s="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15.75" customHeight="1" x14ac:dyDescent="0.15">
      <c r="A60" s="37"/>
      <c r="B60" s="1"/>
      <c r="C60" s="2"/>
      <c r="D60" s="2"/>
      <c r="E60" s="2"/>
      <c r="F60" s="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15.75" customHeight="1" x14ac:dyDescent="0.15">
      <c r="A61" s="37"/>
      <c r="B61" s="1"/>
      <c r="C61" s="2"/>
      <c r="D61" s="2"/>
      <c r="E61" s="2"/>
      <c r="F61" s="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15.75" customHeight="1" x14ac:dyDescent="0.15">
      <c r="A62" s="37"/>
      <c r="B62" s="1"/>
      <c r="C62" s="2"/>
      <c r="D62" s="2"/>
      <c r="E62" s="2"/>
      <c r="F62" s="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15.75" customHeight="1" x14ac:dyDescent="0.15">
      <c r="A63" s="37"/>
      <c r="B63" s="1"/>
      <c r="C63" s="2"/>
      <c r="D63" s="2"/>
      <c r="E63" s="2"/>
      <c r="F63" s="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15.75" customHeight="1" x14ac:dyDescent="0.15">
      <c r="A64" s="37"/>
      <c r="B64" s="1"/>
      <c r="C64" s="2"/>
      <c r="D64" s="2"/>
      <c r="E64" s="2"/>
      <c r="F64" s="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15.75" customHeight="1" x14ac:dyDescent="0.15">
      <c r="A65" s="37"/>
      <c r="B65" s="1"/>
      <c r="C65" s="2"/>
      <c r="D65" s="2"/>
      <c r="E65" s="2"/>
      <c r="F65" s="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15.75" customHeight="1" x14ac:dyDescent="0.15">
      <c r="A66" s="37"/>
      <c r="B66" s="1"/>
      <c r="C66" s="2"/>
      <c r="D66" s="2"/>
      <c r="E66" s="2"/>
      <c r="F66" s="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" customHeight="1" x14ac:dyDescent="0.15">
      <c r="A977" s="37"/>
      <c r="B977" s="3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</sheetData>
  <sheetProtection algorithmName="SHA-512" hashValue="O2TtMXAR2c98Pn3RnYLbRzyNBWY3EybJ8l1sD0IoSyc1ezba4nlF94IPZf57pw6CkVYMvcAzGFEMAN2p7r+CrQ==" saltValue="b2PmWJpi3N20DqA41eLD3w==" spinCount="100000" sheet="1" objects="1" scenarios="1"/>
  <mergeCells count="23">
    <mergeCell ref="A1:F1"/>
    <mergeCell ref="A3:F3"/>
    <mergeCell ref="A5:F5"/>
    <mergeCell ref="C7:D7"/>
    <mergeCell ref="C8:D8"/>
    <mergeCell ref="A7:B7"/>
    <mergeCell ref="E7:F7"/>
    <mergeCell ref="A37:B37"/>
    <mergeCell ref="C9:D9"/>
    <mergeCell ref="C10:D10"/>
    <mergeCell ref="C11:D11"/>
    <mergeCell ref="C12:D12"/>
    <mergeCell ref="C26:F26"/>
    <mergeCell ref="C31:F31"/>
    <mergeCell ref="C16:F16"/>
    <mergeCell ref="E9:F9"/>
    <mergeCell ref="E10:F10"/>
    <mergeCell ref="E11:F11"/>
    <mergeCell ref="E12:F12"/>
    <mergeCell ref="C21:F21"/>
    <mergeCell ref="A8:B12"/>
    <mergeCell ref="A14:F14"/>
    <mergeCell ref="E8:F8"/>
  </mergeCells>
  <conditionalFormatting sqref="F19 F24 F29 F3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{E5D700A7-7F17-48F3-83DD-284C98C29A9B}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700A7-7F17-48F3-83DD-284C98C29A9B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F19 F24 F29 F34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4"/>
  <sheetViews>
    <sheetView zoomScale="165" zoomScaleNormal="100" workbookViewId="0"/>
  </sheetViews>
  <sheetFormatPr baseColWidth="10" defaultColWidth="11.33203125" defaultRowHeight="15" x14ac:dyDescent="0.2"/>
  <sheetData/>
  <sheetProtection algorithmName="SHA-512" hashValue="Tpg+oNpdLbt6hMhO0Jq/UDnEkDhGSYcTMA8392YzplU7+Gymkawh7eJ8aViYNNu/+C5MXR/yz5/5e/qk0ZAEGw==" saltValue="UbFIvmiLuSzuOatTMAvCJg==" spinCount="100000" sheet="1" objects="1" scenarios="1"/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22">
    <tabColor theme="5" tint="0.79998168889431442"/>
    <pageSetUpPr fitToPage="1"/>
  </sheetPr>
  <sheetViews>
    <sheetView workbookViewId="0">
      <selection activeCell="C28" sqref="C28"/>
    </sheetView>
  </sheetViews>
  <sheetFormatPr baseColWidth="10" defaultColWidth="14.33203125" defaultRowHeight="15" customHeight="1" x14ac:dyDescent="0.2"/>
  <cols>
    <col min="1" max="1" width="10.6640625" customWidth="1"/>
    <col min="2" max="2" width="63.33203125" customWidth="1"/>
    <col min="3" max="4" width="10.6640625" customWidth="1"/>
    <col min="5" max="5" width="14" customWidth="1"/>
    <col min="6" max="6" width="17.33203125" customWidth="1"/>
    <col min="7" max="26" width="10.6640625" customWidth="1"/>
  </cols>
  <sheetData>
    <row r="2" spans="1:6" x14ac:dyDescent="0.2">
      <c r="A2" s="146"/>
      <c r="B2" s="146"/>
      <c r="C2" s="146"/>
      <c r="D2" s="146"/>
    </row>
    <row r="3" spans="1:6" ht="15" customHeight="1" x14ac:dyDescent="0.2">
      <c r="A3" s="147"/>
      <c r="B3" s="147"/>
      <c r="C3" s="147"/>
      <c r="D3" s="147"/>
    </row>
    <row r="4" spans="1:6" x14ac:dyDescent="0.2">
      <c r="A4" s="11"/>
      <c r="B4" s="11"/>
      <c r="C4" s="11"/>
      <c r="D4" s="11"/>
    </row>
    <row r="5" spans="1:6" x14ac:dyDescent="0.2">
      <c r="A5" s="11"/>
      <c r="B5" s="11"/>
      <c r="C5" s="11"/>
      <c r="D5" s="11"/>
    </row>
    <row r="6" spans="1:6" x14ac:dyDescent="0.2">
      <c r="A6" s="11"/>
      <c r="B6" s="11"/>
      <c r="C6" s="11"/>
      <c r="D6" s="11"/>
    </row>
    <row r="7" spans="1:6" x14ac:dyDescent="0.2">
      <c r="A7" s="11"/>
      <c r="B7" s="11"/>
      <c r="C7" s="11"/>
      <c r="D7" s="11"/>
    </row>
    <row r="8" spans="1:6" x14ac:dyDescent="0.2">
      <c r="A8" s="11"/>
      <c r="B8" s="11"/>
      <c r="C8" s="11"/>
      <c r="D8" s="11"/>
    </row>
    <row r="9" spans="1:6" x14ac:dyDescent="0.2">
      <c r="A9" s="11"/>
      <c r="B9" s="11"/>
      <c r="C9" s="11"/>
      <c r="D9" s="11"/>
    </row>
    <row r="10" spans="1:6" x14ac:dyDescent="0.2">
      <c r="A10" s="11"/>
      <c r="B10" s="11"/>
      <c r="C10" s="11"/>
      <c r="D10" s="11"/>
    </row>
    <row r="11" spans="1:6" x14ac:dyDescent="0.2">
      <c r="A11" s="11"/>
      <c r="B11" s="11"/>
      <c r="C11" s="11"/>
      <c r="D11" s="11"/>
    </row>
    <row r="12" spans="1:6" x14ac:dyDescent="0.2">
      <c r="A12" s="11"/>
      <c r="B12" s="11"/>
      <c r="C12" s="11"/>
      <c r="D12" s="11"/>
    </row>
    <row r="13" spans="1:6" x14ac:dyDescent="0.2">
      <c r="A13" s="11"/>
      <c r="B13" s="11"/>
      <c r="C13" s="11"/>
      <c r="D13" s="11"/>
    </row>
    <row r="14" spans="1:6" ht="15.75" customHeight="1" x14ac:dyDescent="0.2">
      <c r="A14" s="11"/>
      <c r="B14" s="11"/>
      <c r="C14" s="11"/>
      <c r="D14" s="11"/>
    </row>
    <row r="15" spans="1:6" ht="73.5" customHeight="1" x14ac:dyDescent="0.2">
      <c r="A15" s="11"/>
      <c r="B15" t="s" s="148">
        <v>0</v>
      </c>
      <c r="C15" s="149"/>
      <c r="D15" s="149"/>
      <c r="E15" s="149"/>
      <c r="F15" s="150"/>
    </row>
    <row r="16" spans="1:6" x14ac:dyDescent="0.2">
      <c r="A16" s="11"/>
      <c r="B16" s="1"/>
      <c r="C16" s="2"/>
      <c r="D16" s="2"/>
      <c r="E16" s="2"/>
      <c r="F16" s="2"/>
    </row>
    <row r="17" spans="1:7" ht="15" customHeight="1" x14ac:dyDescent="0.2">
      <c r="A17" s="11"/>
      <c r="B17" t="s" s="143">
        <v>56</v>
      </c>
      <c r="C17" s="144"/>
      <c r="D17" s="144"/>
      <c r="E17" s="144"/>
      <c r="F17" s="145"/>
    </row>
    <row r="18" spans="1:7" ht="15" customHeight="1" x14ac:dyDescent="0.2">
      <c r="A18" s="11"/>
      <c r="B18" t="s" s="156">
        <v>62</v>
      </c>
      <c r="C18" s="149"/>
      <c r="D18" s="149"/>
      <c r="E18" s="149"/>
      <c r="F18" s="150"/>
    </row>
    <row r="19" spans="1:7" x14ac:dyDescent="0.2">
      <c r="A19" s="11"/>
      <c r="B19" s="3"/>
      <c r="C19" s="3"/>
      <c r="D19" s="3"/>
      <c r="E19" s="3"/>
      <c r="F19" s="3"/>
    </row>
    <row r="20" spans="1:7" ht="15.75" customHeight="1" x14ac:dyDescent="0.2">
      <c r="A20" s="11"/>
      <c r="B20" t="s" s="4">
        <v>4</v>
      </c>
      <c r="C20" t="s" s="157">
        <v>63</v>
      </c>
      <c r="D20" s="158"/>
      <c r="E20" s="158"/>
      <c r="F20" s="158"/>
    </row>
    <row r="21" spans="1:7" ht="15.75" customHeight="1" x14ac:dyDescent="0.2">
      <c r="A21" s="11"/>
      <c r="B21" t="s" s="4">
        <v>5</v>
      </c>
      <c r="C21" t="s" s="154">
        <v>64</v>
      </c>
      <c r="D21" s="155"/>
      <c r="E21" s="155"/>
      <c r="F21" s="155"/>
    </row>
    <row r="22" spans="1:7" ht="15.75" customHeight="1" x14ac:dyDescent="0.2">
      <c r="A22" s="11"/>
      <c r="B22" t="s" s="4">
        <v>6</v>
      </c>
      <c r="C22" t="s" s="157">
        <v>65</v>
      </c>
      <c r="D22" s="158"/>
      <c r="E22" s="158"/>
      <c r="F22" s="158"/>
    </row>
    <row r="23" spans="1:7" ht="15.75" customHeight="1" x14ac:dyDescent="0.2">
      <c r="A23" s="11"/>
      <c r="B23" t="s" s="4">
        <v>7</v>
      </c>
      <c r="C23" t="s" s="154">
        <v>66</v>
      </c>
      <c r="D23" s="155"/>
      <c r="E23" s="155"/>
      <c r="F23" s="155"/>
    </row>
    <row r="24" spans="1:7" ht="15.75" customHeight="1" x14ac:dyDescent="0.2">
      <c r="A24" s="11"/>
      <c r="B24" t="s" s="4">
        <v>8</v>
      </c>
      <c r="C24" t="s" s="157">
        <v>67</v>
      </c>
      <c r="D24" s="158"/>
      <c r="E24" s="158"/>
      <c r="F24" s="158"/>
    </row>
    <row r="25" spans="1:7" ht="15.75" customHeight="1" x14ac:dyDescent="0.2">
      <c r="A25" s="11"/>
      <c r="B25" t="s" s="4">
        <v>9</v>
      </c>
      <c r="C25" s="154"/>
      <c r="D25" s="155"/>
      <c r="E25" s="155"/>
      <c r="F25" s="155"/>
    </row>
    <row r="26" spans="1:7" ht="15.75" customHeight="1" x14ac:dyDescent="0.2">
      <c r="A26" s="11"/>
      <c r="B26" s="1"/>
      <c r="C26" s="2"/>
      <c r="D26" s="2"/>
      <c r="E26" s="2"/>
      <c r="F26" s="2"/>
    </row>
    <row r="27" spans="1:7" ht="27.75" customHeight="1" x14ac:dyDescent="0.2">
      <c r="A27" s="12"/>
      <c r="B27" s="29"/>
      <c r="C27" s="29"/>
      <c r="D27" s="29"/>
      <c r="E27" s="28"/>
      <c r="F27" s="28"/>
      <c r="G27" s="22"/>
    </row>
    <row r="28" spans="1:7" ht="53.25" customHeight="1" x14ac:dyDescent="0.2">
      <c r="B28" t="s" s="9">
        <v>53</v>
      </c>
      <c r="C28" t="s" s="81">
        <v>58</v>
      </c>
      <c r="D28" t="s" s="82">
        <v>54</v>
      </c>
      <c r="E28" s="80"/>
      <c r="F28" s="79"/>
      <c r="G28" s="22"/>
    </row>
    <row r="29" spans="1:7" ht="15.75" customHeight="1" x14ac:dyDescent="0.2">
      <c r="A29" s="8"/>
      <c r="B29" s="7"/>
      <c r="C29" s="7"/>
      <c r="D29" s="7"/>
      <c r="E29" s="22"/>
      <c r="F29" s="22"/>
    </row>
    <row r="30" spans="1:7" ht="15.75" customHeight="1" x14ac:dyDescent="0.2">
      <c r="A30" s="8"/>
      <c r="B30" t="s" s="151">
        <v>59</v>
      </c>
      <c r="C30" s="151"/>
      <c r="D30" s="151"/>
      <c r="E30" s="151"/>
      <c r="F30" s="151"/>
      <c r="G30" s="22"/>
    </row>
    <row r="31" spans="1:7" ht="108" customHeight="1" x14ac:dyDescent="0.2">
      <c r="A31" s="8"/>
      <c r="B31" s="152"/>
      <c r="C31" s="152"/>
      <c r="D31" s="152"/>
      <c r="E31" s="152"/>
      <c r="F31" s="152"/>
      <c r="G31" s="22"/>
    </row>
    <row r="32" spans="1:7" ht="15.75" customHeight="1" x14ac:dyDescent="0.2">
      <c r="A32" s="8"/>
      <c r="B32" s="26"/>
      <c r="C32" s="27"/>
      <c r="D32" s="27"/>
      <c r="E32" s="22"/>
      <c r="F32" s="22"/>
    </row>
    <row r="33" spans="1:4" ht="15.75" customHeight="1" x14ac:dyDescent="0.2">
      <c r="A33" s="8"/>
      <c r="B33" t="s" s="153">
        <v>60</v>
      </c>
      <c r="C33" s="149"/>
      <c r="D33" s="150"/>
    </row>
    <row r="34" spans="1:4" ht="15.75" customHeight="1" x14ac:dyDescent="0.2">
      <c r="A34" s="8"/>
      <c r="B34" s="13"/>
      <c r="C34" s="14"/>
      <c r="D34" s="15"/>
    </row>
    <row r="35" spans="1:4" ht="15.75" customHeight="1" x14ac:dyDescent="0.2">
      <c r="A35" s="8"/>
      <c r="B35" s="16"/>
      <c r="C35" s="21"/>
      <c r="D35" s="17"/>
    </row>
    <row r="36" spans="1:4" ht="15.75" customHeight="1" x14ac:dyDescent="0.2">
      <c r="A36" s="8"/>
      <c r="B36" s="16"/>
      <c r="C36" s="21"/>
      <c r="D36" s="17"/>
    </row>
    <row r="37" spans="1:4" ht="15.75" customHeight="1" x14ac:dyDescent="0.2">
      <c r="A37" s="8"/>
      <c r="B37" s="16"/>
      <c r="C37" s="21"/>
      <c r="D37" s="17"/>
    </row>
    <row r="38" spans="1:4" ht="15.75" customHeight="1" x14ac:dyDescent="0.2">
      <c r="A38" s="8"/>
      <c r="B38" s="18"/>
      <c r="C38" s="19"/>
      <c r="D38" s="20"/>
    </row>
    <row r="39" spans="1:4" ht="15.75" customHeight="1" x14ac:dyDescent="0.2">
      <c r="A39" s="11"/>
      <c r="B39" s="10"/>
      <c r="C39" s="5"/>
      <c r="D39" s="5"/>
    </row>
    <row r="40" spans="1:4" ht="15.75" customHeight="1" x14ac:dyDescent="0.2">
      <c r="A40" s="11"/>
      <c r="B40" s="10"/>
      <c r="C40" s="5"/>
      <c r="D40" s="5"/>
    </row>
    <row r="41" spans="1:4" ht="15.75" customHeight="1" x14ac:dyDescent="0.2">
      <c r="A41" s="11"/>
      <c r="B41" s="10"/>
      <c r="C41" s="5"/>
      <c r="D41" s="5"/>
    </row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6">
    <mergeCell ref="B30:F30"/>
    <mergeCell ref="B31:F31"/>
    <mergeCell ref="B33:D33"/>
    <mergeCell ref="C25:F25"/>
    <mergeCell ref="B18:F18"/>
    <mergeCell ref="C20:F20"/>
    <mergeCell ref="C21:F21"/>
    <mergeCell ref="C22:F22"/>
    <mergeCell ref="C23:F23"/>
    <mergeCell ref="C24:F24"/>
    <mergeCell ref="B17:F17"/>
    <mergeCell ref="A2:A3"/>
    <mergeCell ref="B2:B3"/>
    <mergeCell ref="C2:C3"/>
    <mergeCell ref="D2:D3"/>
    <mergeCell ref="B15:F15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5</vt:i4>
      </vt:variant>
    </vt:vector>
  </HeadingPairs>
  <TitlesOfParts>
    <vt:vector size="12" baseType="lpstr">
      <vt:lpstr>E5-FICHE SEMESTRE1 E5-IR</vt:lpstr>
      <vt:lpstr>E5-FICHE SEMESTRE2 E5-IR</vt:lpstr>
      <vt:lpstr>E5-FICHE SEMESTRE3 E5-IR</vt:lpstr>
      <vt:lpstr>E5-FICHE SEMESTRE4 E5-IR</vt:lpstr>
      <vt:lpstr>E5-FICHE RECAPITULATIVE E5-IR</vt:lpstr>
      <vt:lpstr>Attendus imprimables E5 - IR</vt:lpstr>
      <vt:lpstr>FICHE RENDU JURY E5 - ER</vt:lpstr>
      <vt:lpstr>'E5-FICHE RECAPITULATIVE E5-IR'!Zone_d_impression</vt:lpstr>
      <vt:lpstr>'E5-FICHE SEMESTRE1 E5-IR'!Zone_d_impression</vt:lpstr>
      <vt:lpstr>'E5-FICHE SEMESTRE2 E5-IR'!Zone_d_impression</vt:lpstr>
      <vt:lpstr>'E5-FICHE SEMESTRE3 E5-IR'!Zone_d_impression</vt:lpstr>
      <vt:lpstr>'E5-FICHE SEMESTRE4 E5-IR'!Zone_d_impression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abauvin</dc:creator>
  <cp:keywords/>
  <dc:description/>
  <cp:lastModifiedBy>samuel BOUHENIC</cp:lastModifiedBy>
  <cp:revision/>
  <dcterms:created xsi:type="dcterms:W3CDTF">2016-04-17T07:17:29Z</dcterms:created>
  <dcterms:modified xsi:type="dcterms:W3CDTF">2025-11-30T11:08:54Z</dcterms:modified>
  <cp:category/>
  <cp:contentStatus/>
</cp:coreProperties>
</file>